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Sebastian\Portafolio\"/>
    </mc:Choice>
  </mc:AlternateContent>
  <xr:revisionPtr revIDLastSave="0" documentId="8_{7C14C254-F8CE-428D-A215-540CD6BD24AA}" xr6:coauthVersionLast="47" xr6:coauthVersionMax="47" xr10:uidLastSave="{00000000-0000-0000-0000-000000000000}"/>
  <bookViews>
    <workbookView xWindow="-120" yWindow="-120" windowWidth="29040" windowHeight="15840" xr2:uid="{29ECEC27-929F-437C-8F2E-95C5E91AD6C8}"/>
  </bookViews>
  <sheets>
    <sheet name="Arbitraje" sheetId="1" r:id="rId1"/>
    <sheet name="Inversión Sint." sheetId="5" r:id="rId2"/>
    <sheet name="Crédito Sint." sheetId="4" r:id="rId3"/>
    <sheet name="Carry Trade" sheetId="7" r:id="rId4"/>
    <sheet name="Prorrogación" sheetId="8" r:id="rId5"/>
    <sheet name="Redenció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F25" i="1"/>
  <c r="F21" i="1"/>
  <c r="F17" i="1"/>
  <c r="F4" i="7" l="1"/>
  <c r="B17" i="7" s="1"/>
  <c r="B21" i="7" s="1"/>
  <c r="B25" i="7" s="1"/>
  <c r="B11" i="8"/>
  <c r="F11" i="8" s="1"/>
  <c r="F13" i="8" s="1"/>
  <c r="B11" i="10"/>
  <c r="B13" i="10" s="1"/>
  <c r="C9" i="7"/>
  <c r="B9" i="7"/>
  <c r="C5" i="7"/>
  <c r="C2" i="7"/>
  <c r="F12" i="4"/>
  <c r="B12" i="5"/>
  <c r="F5" i="5"/>
  <c r="B12" i="4"/>
  <c r="B15" i="4" s="1"/>
  <c r="F5" i="4"/>
  <c r="B13" i="8" l="1"/>
  <c r="F11" i="10"/>
  <c r="E9" i="7"/>
  <c r="F5" i="7" s="1"/>
  <c r="B11" i="7" s="1"/>
  <c r="B15" i="5"/>
  <c r="B18" i="5" s="1"/>
  <c r="F14" i="5" s="1"/>
  <c r="B18" i="4"/>
  <c r="J24" i="7" l="1"/>
  <c r="B29" i="7"/>
  <c r="F17" i="7"/>
  <c r="F21" i="7" s="1"/>
  <c r="F25" i="7" s="1"/>
  <c r="F29" i="7" s="1"/>
  <c r="B16" i="10"/>
  <c r="F13" i="10"/>
  <c r="C5" i="1"/>
  <c r="C2" i="1"/>
  <c r="C9" i="1"/>
  <c r="B9" i="1"/>
  <c r="E9" i="1" l="1"/>
  <c r="B11" i="1" s="1"/>
  <c r="B17" i="1" l="1"/>
  <c r="B21" i="1" s="1"/>
  <c r="B25" i="1" s="1"/>
  <c r="F29" i="1"/>
  <c r="J24" i="1" l="1"/>
  <c r="B29" i="1"/>
</calcChain>
</file>

<file path=xl/sharedStrings.xml><?xml version="1.0" encoding="utf-8"?>
<sst xmlns="http://schemas.openxmlformats.org/spreadsheetml/2006/main" count="182" uniqueCount="78">
  <si>
    <t>Spot</t>
  </si>
  <si>
    <t>i Col</t>
  </si>
  <si>
    <t>I Usa</t>
  </si>
  <si>
    <t>Dev. Mcado</t>
  </si>
  <si>
    <t>VN Forward</t>
  </si>
  <si>
    <t>Base</t>
  </si>
  <si>
    <t>Plazo</t>
  </si>
  <si>
    <t>BID</t>
  </si>
  <si>
    <t>OFFER</t>
  </si>
  <si>
    <t>USD</t>
  </si>
  <si>
    <t>Devaluación Equilibrio</t>
  </si>
  <si>
    <t>Bid</t>
  </si>
  <si>
    <t>Offer</t>
  </si>
  <si>
    <t>Strike</t>
  </si>
  <si>
    <t>Presione el botón según el mensaje</t>
  </si>
  <si>
    <t>MENSAJE</t>
  </si>
  <si>
    <t>2. "Monetizo"</t>
  </si>
  <si>
    <t>UTILIDAD EN USD</t>
  </si>
  <si>
    <t>VP</t>
  </si>
  <si>
    <t>Valor Forward</t>
  </si>
  <si>
    <t>COP</t>
  </si>
  <si>
    <t>Rentabilidad</t>
  </si>
  <si>
    <t>i COL</t>
  </si>
  <si>
    <t>i USA</t>
  </si>
  <si>
    <t>Dev MCDO</t>
  </si>
  <si>
    <t>Liquidez Necesaria</t>
  </si>
  <si>
    <t>CRÉDITO SINTÉTICO</t>
  </si>
  <si>
    <t>1.  "Monetizo"</t>
  </si>
  <si>
    <t>COP a USD</t>
  </si>
  <si>
    <t>2. Tomo Crédito en USA</t>
  </si>
  <si>
    <t>VF</t>
  </si>
  <si>
    <t>Forward vs Posición Inicial</t>
  </si>
  <si>
    <t>3.  Forward de Compra</t>
  </si>
  <si>
    <t>VF * Strike</t>
  </si>
  <si>
    <t>Tasa</t>
  </si>
  <si>
    <t>Posición USD</t>
  </si>
  <si>
    <t>INVERSIÓN SINTÉTICA</t>
  </si>
  <si>
    <t>1.  Monetizo</t>
  </si>
  <si>
    <t>USD a COP</t>
  </si>
  <si>
    <t>2.  Invierto i COL</t>
  </si>
  <si>
    <t>VF/Strike</t>
  </si>
  <si>
    <t>Compra</t>
  </si>
  <si>
    <t>Dev Mcado</t>
  </si>
  <si>
    <t>Forward de</t>
  </si>
  <si>
    <t>días</t>
  </si>
  <si>
    <t>Venta</t>
  </si>
  <si>
    <t>Rellenar</t>
  </si>
  <si>
    <t>Strike 1</t>
  </si>
  <si>
    <t>Strike 2</t>
  </si>
  <si>
    <t>Valor Fwd</t>
  </si>
  <si>
    <t>Redención Anticipada</t>
  </si>
  <si>
    <t>Prórroga</t>
  </si>
  <si>
    <t>VP Strike</t>
  </si>
  <si>
    <t>Días restantes del Fwd</t>
  </si>
  <si>
    <t>Payoff</t>
  </si>
  <si>
    <t>PULSE EL BOTÓN PARA LIMPIAR LOS DATOS DE ENTRADA</t>
  </si>
  <si>
    <t>Dev a x días</t>
  </si>
  <si>
    <t>TOMAR CRÉDITO EN USA</t>
  </si>
  <si>
    <t>UTILIDAD EN COP</t>
  </si>
  <si>
    <t>VP*Spot</t>
  </si>
  <si>
    <t>VF Crédito</t>
  </si>
  <si>
    <t>4. Utilidad en COP</t>
  </si>
  <si>
    <t>2. Monetizo</t>
  </si>
  <si>
    <t>VP/Spot</t>
  </si>
  <si>
    <t>VF Inversión</t>
  </si>
  <si>
    <t>4. Utilidad en USD</t>
  </si>
  <si>
    <t>1. Hallo el valor a invertir en COP</t>
  </si>
  <si>
    <t>3. Crédito en USD</t>
  </si>
  <si>
    <t>Fwd - Crédito</t>
  </si>
  <si>
    <t>1. Hallo el valor del crédito en USD</t>
  </si>
  <si>
    <t>3. Invierto en COP</t>
  </si>
  <si>
    <t>Inversión - Fwd</t>
  </si>
  <si>
    <t>1. Hallo el valor a invertir en USD</t>
  </si>
  <si>
    <t>3. Crédito en COP</t>
  </si>
  <si>
    <t>1. Hallo valor del crédito en COP</t>
  </si>
  <si>
    <t>3. Invierto en USD</t>
  </si>
  <si>
    <t>VF inversión</t>
  </si>
  <si>
    <t>INSTRUCCIONES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</si>
</sst>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10" fontId="0" fillId="0" borderId="2" xfId="0" applyNumberForma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2" fontId="0" fillId="0" borderId="0" xfId="0" applyNumberFormat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2" fillId="3" borderId="7" xfId="0" applyFont="1" applyFill="1" applyBorder="1"/>
    <xf numFmtId="0" fontId="0" fillId="3" borderId="7" xfId="0" applyFill="1" applyBorder="1" applyAlignment="1">
      <alignment horizontal="right"/>
    </xf>
    <xf numFmtId="43" fontId="0" fillId="3" borderId="0" xfId="0" applyNumberFormat="1" applyFill="1"/>
    <xf numFmtId="0" fontId="0" fillId="3" borderId="9" xfId="0" applyFill="1" applyBorder="1" applyAlignment="1">
      <alignment horizontal="center"/>
    </xf>
    <xf numFmtId="43" fontId="0" fillId="3" borderId="10" xfId="0" applyNumberFormat="1" applyFill="1" applyBorder="1"/>
    <xf numFmtId="0" fontId="0" fillId="3" borderId="11" xfId="0" applyFill="1" applyBorder="1"/>
    <xf numFmtId="0" fontId="0" fillId="5" borderId="7" xfId="0" applyFill="1" applyBorder="1"/>
    <xf numFmtId="0" fontId="0" fillId="5" borderId="0" xfId="0" applyFill="1"/>
    <xf numFmtId="0" fontId="0" fillId="5" borderId="8" xfId="0" applyFill="1" applyBorder="1"/>
    <xf numFmtId="0" fontId="2" fillId="5" borderId="7" xfId="0" applyFont="1" applyFill="1" applyBorder="1"/>
    <xf numFmtId="0" fontId="0" fillId="5" borderId="7" xfId="0" applyFill="1" applyBorder="1" applyAlignment="1">
      <alignment horizontal="right"/>
    </xf>
    <xf numFmtId="43" fontId="0" fillId="5" borderId="0" xfId="0" applyNumberFormat="1" applyFill="1"/>
    <xf numFmtId="0" fontId="0" fillId="5" borderId="9" xfId="0" applyFill="1" applyBorder="1" applyAlignment="1">
      <alignment horizontal="center"/>
    </xf>
    <xf numFmtId="43" fontId="0" fillId="5" borderId="10" xfId="0" applyNumberFormat="1" applyFill="1" applyBorder="1"/>
    <xf numFmtId="0" fontId="0" fillId="5" borderId="11" xfId="0" applyFill="1" applyBorder="1"/>
    <xf numFmtId="43" fontId="0" fillId="0" borderId="0" xfId="0" applyNumberFormat="1"/>
    <xf numFmtId="9" fontId="0" fillId="0" borderId="0" xfId="2" applyFont="1"/>
    <xf numFmtId="10" fontId="0" fillId="0" borderId="0" xfId="2" applyNumberFormat="1" applyFont="1"/>
    <xf numFmtId="0" fontId="2" fillId="5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64" fontId="0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5" xfId="0" applyBorder="1"/>
    <xf numFmtId="0" fontId="0" fillId="0" borderId="3" xfId="0" applyBorder="1"/>
    <xf numFmtId="43" fontId="0" fillId="0" borderId="0" xfId="0" applyNumberFormat="1" applyAlignment="1">
      <alignment horizontal="center"/>
    </xf>
    <xf numFmtId="0" fontId="0" fillId="0" borderId="16" xfId="0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43" fontId="0" fillId="0" borderId="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2" xfId="2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/>
    <xf numFmtId="0" fontId="2" fillId="0" borderId="18" xfId="0" applyFont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10" fontId="0" fillId="0" borderId="21" xfId="2" applyNumberFormat="1" applyFont="1" applyBorder="1" applyAlignment="1">
      <alignment horizontal="center"/>
    </xf>
    <xf numFmtId="0" fontId="0" fillId="5" borderId="20" xfId="0" applyFill="1" applyBorder="1" applyAlignment="1">
      <alignment horizontal="center"/>
    </xf>
    <xf numFmtId="164" fontId="0" fillId="0" borderId="2" xfId="1" applyNumberFormat="1" applyFont="1" applyBorder="1" applyAlignment="1">
      <alignment horizontal="center"/>
    </xf>
    <xf numFmtId="165" fontId="0" fillId="0" borderId="21" xfId="2" applyNumberFormat="1" applyFont="1" applyBorder="1" applyAlignment="1">
      <alignment horizontal="center"/>
    </xf>
    <xf numFmtId="164" fontId="0" fillId="0" borderId="0" xfId="1" applyNumberFormat="1" applyFont="1"/>
    <xf numFmtId="164" fontId="0" fillId="0" borderId="2" xfId="1" applyNumberFormat="1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6" borderId="0" xfId="0" applyFill="1"/>
    <xf numFmtId="0" fontId="2" fillId="6" borderId="2" xfId="0" applyFont="1" applyFill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2" fillId="4" borderId="20" xfId="0" applyFont="1" applyFill="1" applyBorder="1" applyAlignment="1">
      <alignment horizontal="center" vertical="center"/>
    </xf>
    <xf numFmtId="43" fontId="0" fillId="0" borderId="21" xfId="0" applyNumberFormat="1" applyBorder="1"/>
    <xf numFmtId="0" fontId="0" fillId="7" borderId="20" xfId="0" applyFill="1" applyBorder="1" applyAlignment="1">
      <alignment horizontal="center"/>
    </xf>
    <xf numFmtId="0" fontId="4" fillId="0" borderId="0" xfId="0" applyFont="1"/>
    <xf numFmtId="0" fontId="2" fillId="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3" borderId="9" xfId="0" applyFill="1" applyBorder="1"/>
    <xf numFmtId="43" fontId="0" fillId="0" borderId="21" xfId="1" applyFont="1" applyBorder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wrapText="1"/>
    </xf>
    <xf numFmtId="0" fontId="4" fillId="5" borderId="4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8" xfId="0" applyFont="1" applyFill="1" applyBorder="1" applyAlignment="1">
      <alignment horizontal="center" wrapText="1"/>
    </xf>
    <xf numFmtId="0" fontId="6" fillId="8" borderId="2" xfId="0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0" fontId="6" fillId="8" borderId="2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8" xfId="0" applyFont="1" applyBorder="1" applyAlignment="1">
      <alignment horizontal="center"/>
    </xf>
    <xf numFmtId="0" fontId="10" fillId="2" borderId="19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2" fillId="9" borderId="2" xfId="0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 wrapText="1"/>
    </xf>
    <xf numFmtId="0" fontId="2" fillId="0" borderId="2" xfId="0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2" fillId="10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 wrapText="1"/>
    </xf>
    <xf numFmtId="0" fontId="11" fillId="0" borderId="2" xfId="0" applyFont="1" applyFill="1" applyBorder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16</xdr:row>
      <xdr:rowOff>142874</xdr:rowOff>
    </xdr:from>
    <xdr:to>
      <xdr:col>10</xdr:col>
      <xdr:colOff>152400</xdr:colOff>
      <xdr:row>19</xdr:row>
      <xdr:rowOff>152399</xdr:rowOff>
    </xdr:to>
    <xdr:sp macro="[0]!Vender_forward" textlink="">
      <xdr:nvSpPr>
        <xdr:cNvPr id="2" name="Rectángulo 1">
          <a:extLst>
            <a:ext uri="{FF2B5EF4-FFF2-40B4-BE49-F238E27FC236}">
              <a16:creationId xmlns:a16="http://schemas.microsoft.com/office/drawing/2014/main" id="{7EE9EC5B-74F4-C534-32B5-92101ED2DBD1}"/>
            </a:ext>
          </a:extLst>
        </xdr:cNvPr>
        <xdr:cNvSpPr/>
      </xdr:nvSpPr>
      <xdr:spPr>
        <a:xfrm>
          <a:off x="8343900" y="3200399"/>
          <a:ext cx="1762125" cy="5810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VENDER EL FORWARD</a:t>
          </a:r>
        </a:p>
      </xdr:txBody>
    </xdr:sp>
    <xdr:clientData/>
  </xdr:twoCellAnchor>
  <xdr:twoCellAnchor>
    <xdr:from>
      <xdr:col>7</xdr:col>
      <xdr:colOff>657225</xdr:colOff>
      <xdr:row>12</xdr:row>
      <xdr:rowOff>19050</xdr:rowOff>
    </xdr:from>
    <xdr:to>
      <xdr:col>10</xdr:col>
      <xdr:colOff>133350</xdr:colOff>
      <xdr:row>15</xdr:row>
      <xdr:rowOff>28575</xdr:rowOff>
    </xdr:to>
    <xdr:sp macro="[0]!Comprar_Forward" textlink="">
      <xdr:nvSpPr>
        <xdr:cNvPr id="3" name="Rectángulo 2">
          <a:extLst>
            <a:ext uri="{FF2B5EF4-FFF2-40B4-BE49-F238E27FC236}">
              <a16:creationId xmlns:a16="http://schemas.microsoft.com/office/drawing/2014/main" id="{675C49C0-484E-45D1-97B5-BFD4A9B1245E}"/>
            </a:ext>
          </a:extLst>
        </xdr:cNvPr>
        <xdr:cNvSpPr/>
      </xdr:nvSpPr>
      <xdr:spPr>
        <a:xfrm>
          <a:off x="8324850" y="2314575"/>
          <a:ext cx="1762125" cy="5810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COMPRAR EL FORWARD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16</xdr:row>
      <xdr:rowOff>142874</xdr:rowOff>
    </xdr:from>
    <xdr:to>
      <xdr:col>10</xdr:col>
      <xdr:colOff>152400</xdr:colOff>
      <xdr:row>19</xdr:row>
      <xdr:rowOff>152399</xdr:rowOff>
    </xdr:to>
    <xdr:sp macro="[0]!VenderF_carry" textlink="">
      <xdr:nvSpPr>
        <xdr:cNvPr id="2" name="Rectángulo 1">
          <a:extLst>
            <a:ext uri="{FF2B5EF4-FFF2-40B4-BE49-F238E27FC236}">
              <a16:creationId xmlns:a16="http://schemas.microsoft.com/office/drawing/2014/main" id="{8740FD3B-5ECA-47D6-A8F1-52887138F845}"/>
            </a:ext>
          </a:extLst>
        </xdr:cNvPr>
        <xdr:cNvSpPr/>
      </xdr:nvSpPr>
      <xdr:spPr>
        <a:xfrm>
          <a:off x="8467725" y="3219449"/>
          <a:ext cx="1819275" cy="5810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VENDER EL FORWARD</a:t>
          </a:r>
        </a:p>
      </xdr:txBody>
    </xdr:sp>
    <xdr:clientData/>
  </xdr:twoCellAnchor>
  <xdr:twoCellAnchor>
    <xdr:from>
      <xdr:col>7</xdr:col>
      <xdr:colOff>657225</xdr:colOff>
      <xdr:row>12</xdr:row>
      <xdr:rowOff>19050</xdr:rowOff>
    </xdr:from>
    <xdr:to>
      <xdr:col>10</xdr:col>
      <xdr:colOff>133350</xdr:colOff>
      <xdr:row>15</xdr:row>
      <xdr:rowOff>28575</xdr:rowOff>
    </xdr:to>
    <xdr:sp macro="[0]!Comprarf_carry" textlink="">
      <xdr:nvSpPr>
        <xdr:cNvPr id="3" name="Rectángulo 2">
          <a:extLst>
            <a:ext uri="{FF2B5EF4-FFF2-40B4-BE49-F238E27FC236}">
              <a16:creationId xmlns:a16="http://schemas.microsoft.com/office/drawing/2014/main" id="{AE53E9EC-2F87-4269-BDA1-7E5A700E2D3D}"/>
            </a:ext>
          </a:extLst>
        </xdr:cNvPr>
        <xdr:cNvSpPr/>
      </xdr:nvSpPr>
      <xdr:spPr>
        <a:xfrm>
          <a:off x="8448675" y="2333625"/>
          <a:ext cx="1819275" cy="5810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COMPRAR EL FORWARD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20</xdr:row>
      <xdr:rowOff>57149</xdr:rowOff>
    </xdr:from>
    <xdr:to>
      <xdr:col>6</xdr:col>
      <xdr:colOff>933450</xdr:colOff>
      <xdr:row>22</xdr:row>
      <xdr:rowOff>180974</xdr:rowOff>
    </xdr:to>
    <xdr:sp macro="[0]!Limpieza_prorro" textlink="">
      <xdr:nvSpPr>
        <xdr:cNvPr id="2" name="Rectángulo 1">
          <a:extLst>
            <a:ext uri="{FF2B5EF4-FFF2-40B4-BE49-F238E27FC236}">
              <a16:creationId xmlns:a16="http://schemas.microsoft.com/office/drawing/2014/main" id="{0DBB3BB5-A9B6-4BEE-92DE-C5674CF5BD70}"/>
            </a:ext>
          </a:extLst>
        </xdr:cNvPr>
        <xdr:cNvSpPr/>
      </xdr:nvSpPr>
      <xdr:spPr>
        <a:xfrm>
          <a:off x="4067175" y="3895724"/>
          <a:ext cx="1400175" cy="5048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/>
            <a:t>LIMPIEZA</a:t>
          </a:r>
        </a:p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19</xdr:row>
      <xdr:rowOff>57149</xdr:rowOff>
    </xdr:from>
    <xdr:to>
      <xdr:col>6</xdr:col>
      <xdr:colOff>933450</xdr:colOff>
      <xdr:row>21</xdr:row>
      <xdr:rowOff>180974</xdr:rowOff>
    </xdr:to>
    <xdr:sp macro="[0]!Limpieza" textlink="">
      <xdr:nvSpPr>
        <xdr:cNvPr id="2" name="Rectángulo 1">
          <a:extLst>
            <a:ext uri="{FF2B5EF4-FFF2-40B4-BE49-F238E27FC236}">
              <a16:creationId xmlns:a16="http://schemas.microsoft.com/office/drawing/2014/main" id="{C06B6506-ABA4-0D46-7405-C63D9D6E8477}"/>
            </a:ext>
          </a:extLst>
        </xdr:cNvPr>
        <xdr:cNvSpPr/>
      </xdr:nvSpPr>
      <xdr:spPr>
        <a:xfrm>
          <a:off x="4210050" y="3143249"/>
          <a:ext cx="1609725" cy="5048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/>
            <a:t>LIMPIEZA</a:t>
          </a:r>
        </a:p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9D6F8-206B-4686-89A3-D9B35BCB62D4}">
  <sheetPr codeName="Hoja1"/>
  <dimension ref="A1:K29"/>
  <sheetViews>
    <sheetView showGridLines="0" tabSelected="1" workbookViewId="0">
      <selection activeCell="G8" sqref="G8"/>
    </sheetView>
  </sheetViews>
  <sheetFormatPr baseColWidth="10" defaultRowHeight="15" x14ac:dyDescent="0.25"/>
  <cols>
    <col min="1" max="1" width="16.5703125" customWidth="1"/>
    <col min="2" max="2" width="18.42578125" customWidth="1"/>
    <col min="3" max="3" width="16.28515625" customWidth="1"/>
    <col min="5" max="5" width="23.28515625" customWidth="1"/>
    <col min="6" max="6" width="18.42578125" customWidth="1"/>
    <col min="7" max="7" width="15.7109375" customWidth="1"/>
    <col min="9" max="9" width="12.28515625" customWidth="1"/>
  </cols>
  <sheetData>
    <row r="1" spans="1:11" ht="15.75" thickBot="1" x14ac:dyDescent="0.3">
      <c r="B1" s="2" t="s">
        <v>7</v>
      </c>
      <c r="C1" s="2" t="s">
        <v>8</v>
      </c>
    </row>
    <row r="2" spans="1:11" x14ac:dyDescent="0.25">
      <c r="A2" s="94" t="s">
        <v>0</v>
      </c>
      <c r="B2" s="3">
        <v>2985.4</v>
      </c>
      <c r="C2" s="3">
        <f>B2</f>
        <v>2985.4</v>
      </c>
      <c r="E2" s="94" t="s">
        <v>5</v>
      </c>
      <c r="F2" s="3">
        <v>360</v>
      </c>
      <c r="H2" s="98" t="s">
        <v>77</v>
      </c>
      <c r="I2" s="99"/>
    </row>
    <row r="3" spans="1:11" ht="15.75" thickBot="1" x14ac:dyDescent="0.3">
      <c r="A3" s="94" t="s">
        <v>1</v>
      </c>
      <c r="B3" s="4">
        <v>3.7499999999999999E-2</v>
      </c>
      <c r="C3" s="4">
        <v>3.7999999999999999E-2</v>
      </c>
      <c r="E3" s="94" t="s">
        <v>6</v>
      </c>
      <c r="F3" s="3">
        <v>110</v>
      </c>
      <c r="H3" s="100"/>
      <c r="I3" s="101" t="s">
        <v>46</v>
      </c>
    </row>
    <row r="4" spans="1:11" x14ac:dyDescent="0.25">
      <c r="A4" s="94" t="s">
        <v>2</v>
      </c>
      <c r="B4" s="4">
        <v>2.5000000000000001E-3</v>
      </c>
      <c r="C4" s="4">
        <v>3.0000000000000001E-3</v>
      </c>
    </row>
    <row r="5" spans="1:11" x14ac:dyDescent="0.25">
      <c r="A5" s="94" t="s">
        <v>3</v>
      </c>
      <c r="B5" s="4">
        <v>1.55E-2</v>
      </c>
      <c r="C5" s="4">
        <f>B5</f>
        <v>1.55E-2</v>
      </c>
      <c r="E5" s="95" t="s">
        <v>4</v>
      </c>
      <c r="F5" s="5">
        <v>5400000</v>
      </c>
      <c r="G5" t="s">
        <v>9</v>
      </c>
    </row>
    <row r="6" spans="1:11" x14ac:dyDescent="0.25">
      <c r="E6" s="97" t="s">
        <v>13</v>
      </c>
      <c r="F6" s="6">
        <f>IF(E9="Vender el Forward",B2*(1+B5)^(F3/F2),C2*(1+C5)^(F3/F2))</f>
        <v>2999.4637491150024</v>
      </c>
    </row>
    <row r="7" spans="1:11" ht="15.75" thickBot="1" x14ac:dyDescent="0.3"/>
    <row r="8" spans="1:11" ht="18.75" x14ac:dyDescent="0.3">
      <c r="A8" s="74" t="s">
        <v>10</v>
      </c>
      <c r="B8" s="110" t="s">
        <v>11</v>
      </c>
      <c r="C8" s="110" t="s">
        <v>12</v>
      </c>
      <c r="E8" s="102" t="s">
        <v>15</v>
      </c>
    </row>
    <row r="9" spans="1:11" ht="19.5" thickBot="1" x14ac:dyDescent="0.35">
      <c r="A9" s="74"/>
      <c r="B9" s="4">
        <f>((1+B3)/(1+C4))-1</f>
        <v>3.4396809571286324E-2</v>
      </c>
      <c r="C9" s="4">
        <f>((1+C3)/(1+B4))-1</f>
        <v>3.5411471321695753E-2</v>
      </c>
      <c r="E9" s="103" t="str">
        <f>IF(B5&gt;C9,"Vender el Forward",IF(C5&lt;B9,"Comprar el forward"))</f>
        <v>Comprar el forward</v>
      </c>
    </row>
    <row r="11" spans="1:11" x14ac:dyDescent="0.25">
      <c r="A11" t="s">
        <v>19</v>
      </c>
      <c r="B11" s="25">
        <f>F5*F6</f>
        <v>16197104245.221014</v>
      </c>
      <c r="C11" t="s">
        <v>20</v>
      </c>
      <c r="H11" s="81" t="s">
        <v>14</v>
      </c>
      <c r="I11" s="81"/>
      <c r="J11" s="81"/>
      <c r="K11" s="81"/>
    </row>
    <row r="12" spans="1:11" ht="15.75" thickBot="1" x14ac:dyDescent="0.3"/>
    <row r="13" spans="1:11" x14ac:dyDescent="0.25">
      <c r="A13" s="75" t="s">
        <v>17</v>
      </c>
      <c r="B13" s="76"/>
      <c r="C13" s="77"/>
      <c r="E13" s="78" t="s">
        <v>58</v>
      </c>
      <c r="F13" s="79"/>
      <c r="G13" s="80"/>
    </row>
    <row r="14" spans="1:11" x14ac:dyDescent="0.25">
      <c r="A14" s="16"/>
      <c r="B14" s="17"/>
      <c r="C14" s="18"/>
      <c r="E14" s="7"/>
      <c r="F14" s="8"/>
      <c r="G14" s="9"/>
    </row>
    <row r="15" spans="1:11" x14ac:dyDescent="0.25">
      <c r="A15" s="19" t="s">
        <v>66</v>
      </c>
      <c r="B15" s="17"/>
      <c r="C15" s="18"/>
      <c r="E15" s="10" t="s">
        <v>69</v>
      </c>
      <c r="F15" s="8"/>
      <c r="G15" s="9"/>
    </row>
    <row r="16" spans="1:11" x14ac:dyDescent="0.25">
      <c r="A16" s="16"/>
      <c r="B16" s="17"/>
      <c r="C16" s="18"/>
      <c r="E16" s="7"/>
      <c r="F16" s="8"/>
      <c r="G16" s="9"/>
    </row>
    <row r="17" spans="1:10" x14ac:dyDescent="0.25">
      <c r="A17" s="20" t="s">
        <v>18</v>
      </c>
      <c r="B17" s="21">
        <f>B11/(1+B3)^(F3/F2)</f>
        <v>16015928558.917744</v>
      </c>
      <c r="C17" s="18"/>
      <c r="E17" s="11" t="s">
        <v>18</v>
      </c>
      <c r="F17" s="12">
        <f>F5/(1+C4)^(F3/F2)</f>
        <v>5395059.6714557866</v>
      </c>
      <c r="G17" s="9"/>
    </row>
    <row r="18" spans="1:10" x14ac:dyDescent="0.25">
      <c r="A18" s="16"/>
      <c r="B18" s="17"/>
      <c r="C18" s="18"/>
      <c r="E18" s="7"/>
      <c r="F18" s="8"/>
      <c r="G18" s="9"/>
    </row>
    <row r="19" spans="1:10" x14ac:dyDescent="0.25">
      <c r="A19" s="19" t="s">
        <v>16</v>
      </c>
      <c r="B19" s="17"/>
      <c r="C19" s="18"/>
      <c r="E19" s="10" t="s">
        <v>62</v>
      </c>
      <c r="F19" s="8"/>
      <c r="G19" s="9"/>
    </row>
    <row r="20" spans="1:10" x14ac:dyDescent="0.25">
      <c r="A20" s="16"/>
      <c r="B20" s="17"/>
      <c r="C20" s="18"/>
      <c r="E20" s="7"/>
      <c r="F20" s="8"/>
      <c r="G20" s="9"/>
    </row>
    <row r="21" spans="1:10" x14ac:dyDescent="0.25">
      <c r="A21" s="20" t="s">
        <v>63</v>
      </c>
      <c r="B21" s="21">
        <f>B17/B2</f>
        <v>5364751.3093447257</v>
      </c>
      <c r="C21" s="18"/>
      <c r="E21" s="11" t="s">
        <v>59</v>
      </c>
      <c r="F21" s="12">
        <f>F17*B2</f>
        <v>16106411143.164106</v>
      </c>
      <c r="G21" s="9"/>
    </row>
    <row r="22" spans="1:10" x14ac:dyDescent="0.25">
      <c r="A22" s="16"/>
      <c r="B22" s="17"/>
      <c r="C22" s="18"/>
      <c r="E22" s="7"/>
      <c r="F22" s="8"/>
      <c r="G22" s="9"/>
    </row>
    <row r="23" spans="1:10" ht="15.75" thickBot="1" x14ac:dyDescent="0.3">
      <c r="A23" s="19" t="s">
        <v>67</v>
      </c>
      <c r="B23" s="17"/>
      <c r="C23" s="18"/>
      <c r="E23" s="10" t="s">
        <v>70</v>
      </c>
      <c r="F23" s="8"/>
      <c r="G23" s="9"/>
    </row>
    <row r="24" spans="1:10" ht="15.75" thickBot="1" x14ac:dyDescent="0.3">
      <c r="A24" s="16"/>
      <c r="B24" s="17"/>
      <c r="C24" s="18"/>
      <c r="E24" s="7"/>
      <c r="F24" s="8"/>
      <c r="G24" s="9"/>
      <c r="I24" s="54" t="s">
        <v>21</v>
      </c>
      <c r="J24" s="53">
        <f>(F5/B25)^(F2/F3)-1</f>
        <v>1.86083796861507E-2</v>
      </c>
    </row>
    <row r="25" spans="1:10" x14ac:dyDescent="0.25">
      <c r="A25" s="20" t="s">
        <v>60</v>
      </c>
      <c r="B25" s="21">
        <f>B21*(1+C4)^(F3/F2)</f>
        <v>5369663.8841150086</v>
      </c>
      <c r="C25" s="18"/>
      <c r="E25" s="11" t="s">
        <v>64</v>
      </c>
      <c r="F25" s="12">
        <f>F21*(1+B3)^(F3/F2)</f>
        <v>16288610388.247564</v>
      </c>
      <c r="G25" s="9"/>
    </row>
    <row r="26" spans="1:10" x14ac:dyDescent="0.25">
      <c r="A26" s="16"/>
      <c r="B26" s="17"/>
      <c r="C26" s="18"/>
      <c r="E26" s="7"/>
      <c r="F26" s="8"/>
      <c r="G26" s="9"/>
      <c r="J26" s="26"/>
    </row>
    <row r="27" spans="1:10" x14ac:dyDescent="0.25">
      <c r="A27" s="19" t="s">
        <v>65</v>
      </c>
      <c r="B27" s="17"/>
      <c r="C27" s="18"/>
      <c r="E27" s="10" t="s">
        <v>61</v>
      </c>
      <c r="F27" s="8"/>
      <c r="G27" s="9"/>
    </row>
    <row r="28" spans="1:10" x14ac:dyDescent="0.25">
      <c r="A28" s="16"/>
      <c r="B28" s="17"/>
      <c r="C28" s="18"/>
      <c r="E28" s="7"/>
      <c r="F28" s="8"/>
      <c r="G28" s="9"/>
    </row>
    <row r="29" spans="1:10" ht="15.75" thickBot="1" x14ac:dyDescent="0.3">
      <c r="A29" s="22" t="s">
        <v>68</v>
      </c>
      <c r="B29" s="23">
        <f>F5-B25</f>
        <v>30336.115884991363</v>
      </c>
      <c r="C29" s="24"/>
      <c r="E29" s="13" t="s">
        <v>71</v>
      </c>
      <c r="F29" s="14">
        <f>F25-B11</f>
        <v>91506143.026550293</v>
      </c>
      <c r="G29" s="15"/>
    </row>
  </sheetData>
  <mergeCells count="5">
    <mergeCell ref="A8:A9"/>
    <mergeCell ref="A13:C13"/>
    <mergeCell ref="E13:G13"/>
    <mergeCell ref="H11:K11"/>
    <mergeCell ref="H2:I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0851A-7F5E-4808-9F0C-344AB7B0909F}">
  <sheetPr codeName="Hoja2"/>
  <dimension ref="A1:I22"/>
  <sheetViews>
    <sheetView showGridLines="0" workbookViewId="0">
      <selection activeCell="H2" sqref="H2:I3"/>
    </sheetView>
  </sheetViews>
  <sheetFormatPr baseColWidth="10" defaultRowHeight="15" x14ac:dyDescent="0.25"/>
  <cols>
    <col min="1" max="1" width="15.140625" customWidth="1"/>
    <col min="2" max="2" width="22.140625" customWidth="1"/>
    <col min="3" max="3" width="17.5703125" customWidth="1"/>
    <col min="5" max="5" width="12" customWidth="1"/>
    <col min="6" max="6" width="12.28515625" bestFit="1" customWidth="1"/>
  </cols>
  <sheetData>
    <row r="1" spans="1:9" ht="15.75" thickBot="1" x14ac:dyDescent="0.3">
      <c r="B1" s="2" t="s">
        <v>11</v>
      </c>
      <c r="C1" s="2" t="s">
        <v>12</v>
      </c>
    </row>
    <row r="2" spans="1:9" x14ac:dyDescent="0.25">
      <c r="A2" s="96" t="s">
        <v>0</v>
      </c>
      <c r="B2" s="29">
        <v>3005</v>
      </c>
      <c r="C2" s="29">
        <v>3008</v>
      </c>
      <c r="D2" s="27"/>
      <c r="E2" s="104" t="s">
        <v>5</v>
      </c>
      <c r="F2" s="3">
        <v>360</v>
      </c>
      <c r="H2" s="98" t="s">
        <v>77</v>
      </c>
      <c r="I2" s="99"/>
    </row>
    <row r="3" spans="1:9" ht="15.75" thickBot="1" x14ac:dyDescent="0.3">
      <c r="A3" s="96" t="s">
        <v>22</v>
      </c>
      <c r="B3" s="30">
        <v>4.2500000000000003E-2</v>
      </c>
      <c r="C3" s="30">
        <v>4.3499999999999997E-2</v>
      </c>
      <c r="E3" s="104" t="s">
        <v>6</v>
      </c>
      <c r="F3" s="3">
        <v>180</v>
      </c>
      <c r="H3" s="100"/>
      <c r="I3" s="101" t="s">
        <v>46</v>
      </c>
    </row>
    <row r="4" spans="1:9" x14ac:dyDescent="0.25">
      <c r="A4" s="96" t="s">
        <v>23</v>
      </c>
      <c r="B4" s="30">
        <v>3.0000000000000001E-3</v>
      </c>
      <c r="C4" s="30">
        <v>5.0000000000000001E-3</v>
      </c>
    </row>
    <row r="5" spans="1:9" x14ac:dyDescent="0.25">
      <c r="A5" s="96" t="s">
        <v>24</v>
      </c>
      <c r="B5" s="30">
        <v>-9.4999999999999998E-3</v>
      </c>
      <c r="C5" s="30">
        <v>-5.4999999999999997E-3</v>
      </c>
      <c r="E5" s="106" t="s">
        <v>13</v>
      </c>
      <c r="F5" s="31">
        <f>C2*(1+C5)^(F3/F2)</f>
        <v>2999.7165946135647</v>
      </c>
    </row>
    <row r="7" spans="1:9" x14ac:dyDescent="0.25">
      <c r="A7" s="105" t="s">
        <v>35</v>
      </c>
      <c r="B7" s="32">
        <v>2000000</v>
      </c>
      <c r="C7" s="33" t="s">
        <v>9</v>
      </c>
    </row>
    <row r="9" spans="1:9" x14ac:dyDescent="0.25">
      <c r="B9" s="34" t="s">
        <v>36</v>
      </c>
    </row>
    <row r="11" spans="1:9" x14ac:dyDescent="0.25">
      <c r="A11" s="82" t="s">
        <v>37</v>
      </c>
      <c r="B11" s="83"/>
      <c r="C11" s="84"/>
    </row>
    <row r="12" spans="1:9" x14ac:dyDescent="0.25">
      <c r="A12" s="35" t="s">
        <v>38</v>
      </c>
      <c r="B12" s="36">
        <f>B7*B2</f>
        <v>6010000000</v>
      </c>
      <c r="C12" s="37" t="s">
        <v>20</v>
      </c>
    </row>
    <row r="13" spans="1:9" x14ac:dyDescent="0.25">
      <c r="A13" s="38"/>
      <c r="C13" s="39"/>
      <c r="F13" s="33"/>
      <c r="G13" s="33"/>
    </row>
    <row r="14" spans="1:9" x14ac:dyDescent="0.25">
      <c r="A14" s="85" t="s">
        <v>39</v>
      </c>
      <c r="B14" s="86"/>
      <c r="C14" s="87"/>
      <c r="E14" s="48" t="s">
        <v>21</v>
      </c>
      <c r="F14" s="47">
        <f>(B18/B7)^(F2/F3)-1</f>
        <v>4.6175547687206997E-2</v>
      </c>
      <c r="G14" s="33"/>
    </row>
    <row r="15" spans="1:9" x14ac:dyDescent="0.25">
      <c r="A15" s="35" t="s">
        <v>30</v>
      </c>
      <c r="B15" s="40">
        <f>B12*(1+B3)^(F3/F2)</f>
        <v>6136383645.9269724</v>
      </c>
      <c r="C15" s="37" t="s">
        <v>20</v>
      </c>
      <c r="E15" s="88" t="s">
        <v>31</v>
      </c>
      <c r="F15" s="88"/>
    </row>
    <row r="16" spans="1:9" x14ac:dyDescent="0.25">
      <c r="A16" s="35"/>
      <c r="B16" s="1"/>
      <c r="C16" s="37"/>
    </row>
    <row r="17" spans="1:3" x14ac:dyDescent="0.25">
      <c r="A17" s="85" t="s">
        <v>32</v>
      </c>
      <c r="B17" s="86"/>
      <c r="C17" s="87"/>
    </row>
    <row r="18" spans="1:3" x14ac:dyDescent="0.25">
      <c r="A18" s="41" t="s">
        <v>40</v>
      </c>
      <c r="B18" s="42">
        <f>B15/F5</f>
        <v>2045654.465140393</v>
      </c>
      <c r="C18" s="43" t="s">
        <v>9</v>
      </c>
    </row>
    <row r="22" spans="1:3" x14ac:dyDescent="0.25">
      <c r="B22" s="50"/>
    </row>
  </sheetData>
  <mergeCells count="5">
    <mergeCell ref="A11:C11"/>
    <mergeCell ref="A14:C14"/>
    <mergeCell ref="E15:F15"/>
    <mergeCell ref="A17:C17"/>
    <mergeCell ref="H2:I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6ADC1-6EDF-4B60-BBB4-9DAD4D153095}">
  <sheetPr codeName="Hoja3"/>
  <dimension ref="A1:I18"/>
  <sheetViews>
    <sheetView showGridLines="0" workbookViewId="0">
      <selection activeCell="G9" sqref="G9"/>
    </sheetView>
  </sheetViews>
  <sheetFormatPr baseColWidth="10" defaultRowHeight="15" x14ac:dyDescent="0.25"/>
  <cols>
    <col min="1" max="1" width="15.140625" customWidth="1"/>
    <col min="2" max="2" width="22.140625" customWidth="1"/>
    <col min="3" max="3" width="17.5703125" customWidth="1"/>
    <col min="4" max="4" width="16.85546875" bestFit="1" customWidth="1"/>
    <col min="6" max="6" width="12.28515625" bestFit="1" customWidth="1"/>
  </cols>
  <sheetData>
    <row r="1" spans="1:9" ht="15.75" thickBot="1" x14ac:dyDescent="0.3">
      <c r="B1" s="2" t="s">
        <v>11</v>
      </c>
      <c r="C1" s="2" t="s">
        <v>12</v>
      </c>
    </row>
    <row r="2" spans="1:9" x14ac:dyDescent="0.25">
      <c r="A2" s="96" t="s">
        <v>0</v>
      </c>
      <c r="B2" s="29">
        <v>2950</v>
      </c>
      <c r="C2" s="29">
        <v>2955</v>
      </c>
      <c r="D2" s="27"/>
      <c r="E2" s="104" t="s">
        <v>5</v>
      </c>
      <c r="F2" s="3">
        <v>360</v>
      </c>
      <c r="H2" s="98" t="s">
        <v>77</v>
      </c>
      <c r="I2" s="99"/>
    </row>
    <row r="3" spans="1:9" ht="15.75" thickBot="1" x14ac:dyDescent="0.3">
      <c r="A3" s="96" t="s">
        <v>22</v>
      </c>
      <c r="B3" s="30">
        <v>5.2499999999999998E-2</v>
      </c>
      <c r="C3" s="30">
        <v>5.3499999999999999E-2</v>
      </c>
      <c r="E3" s="104" t="s">
        <v>6</v>
      </c>
      <c r="F3" s="3">
        <v>200</v>
      </c>
      <c r="H3" s="100"/>
      <c r="I3" s="101" t="s">
        <v>46</v>
      </c>
    </row>
    <row r="4" spans="1:9" x14ac:dyDescent="0.25">
      <c r="A4" s="96" t="s">
        <v>23</v>
      </c>
      <c r="B4" s="30">
        <v>5.4999999999999997E-3</v>
      </c>
      <c r="C4" s="30">
        <v>6.4999999999999997E-3</v>
      </c>
    </row>
    <row r="5" spans="1:9" x14ac:dyDescent="0.25">
      <c r="A5" s="96" t="s">
        <v>24</v>
      </c>
      <c r="B5" s="30">
        <v>1.95E-2</v>
      </c>
      <c r="C5" s="30">
        <v>2.0500000000000001E-2</v>
      </c>
      <c r="E5" s="108" t="s">
        <v>13</v>
      </c>
      <c r="F5" s="109">
        <f>C2*(1+C5)^(F3/F2)</f>
        <v>2988.5023478069729</v>
      </c>
    </row>
    <row r="7" spans="1:9" ht="30" x14ac:dyDescent="0.25">
      <c r="A7" s="107" t="s">
        <v>25</v>
      </c>
      <c r="B7" s="32">
        <v>5000000000</v>
      </c>
      <c r="C7" s="33" t="s">
        <v>20</v>
      </c>
    </row>
    <row r="9" spans="1:9" x14ac:dyDescent="0.25">
      <c r="B9" s="34" t="s">
        <v>26</v>
      </c>
    </row>
    <row r="11" spans="1:9" x14ac:dyDescent="0.25">
      <c r="A11" s="82" t="s">
        <v>27</v>
      </c>
      <c r="B11" s="83"/>
      <c r="C11" s="84"/>
    </row>
    <row r="12" spans="1:9" ht="15.75" customHeight="1" x14ac:dyDescent="0.25">
      <c r="A12" s="35" t="s">
        <v>28</v>
      </c>
      <c r="B12" s="36">
        <f>B7/B2</f>
        <v>1694915.2542372881</v>
      </c>
      <c r="C12" s="37" t="s">
        <v>20</v>
      </c>
      <c r="D12" s="25"/>
      <c r="E12" s="48" t="s">
        <v>34</v>
      </c>
      <c r="F12" s="47">
        <f>(B18/B7)^(F2/F3)-1</f>
        <v>3.0269001117262606E-2</v>
      </c>
    </row>
    <row r="13" spans="1:9" x14ac:dyDescent="0.25">
      <c r="A13" s="38"/>
      <c r="C13" s="39"/>
      <c r="E13" s="88" t="s">
        <v>31</v>
      </c>
      <c r="F13" s="88"/>
      <c r="G13" s="33"/>
    </row>
    <row r="14" spans="1:9" x14ac:dyDescent="0.25">
      <c r="A14" s="85" t="s">
        <v>29</v>
      </c>
      <c r="B14" s="86"/>
      <c r="C14" s="87"/>
      <c r="F14" s="33"/>
      <c r="G14" s="33"/>
    </row>
    <row r="15" spans="1:9" x14ac:dyDescent="0.25">
      <c r="A15" s="35" t="s">
        <v>30</v>
      </c>
      <c r="B15" s="40">
        <f>B12*(1+C4)^(F3/F2)</f>
        <v>1701026.9683414854</v>
      </c>
      <c r="C15" s="37" t="s">
        <v>9</v>
      </c>
    </row>
    <row r="16" spans="1:9" x14ac:dyDescent="0.25">
      <c r="A16" s="35"/>
      <c r="B16" s="1"/>
      <c r="C16" s="37"/>
    </row>
    <row r="17" spans="1:3" x14ac:dyDescent="0.25">
      <c r="A17" s="85" t="s">
        <v>32</v>
      </c>
      <c r="B17" s="86"/>
      <c r="C17" s="87"/>
    </row>
    <row r="18" spans="1:3" ht="21" customHeight="1" x14ac:dyDescent="0.25">
      <c r="A18" s="44" t="s">
        <v>33</v>
      </c>
      <c r="B18" s="45">
        <f>B15*F5</f>
        <v>5083523088.5715065</v>
      </c>
      <c r="C18" s="46" t="s">
        <v>20</v>
      </c>
    </row>
  </sheetData>
  <mergeCells count="5">
    <mergeCell ref="A11:C11"/>
    <mergeCell ref="A14:C14"/>
    <mergeCell ref="E13:F13"/>
    <mergeCell ref="A17:C17"/>
    <mergeCell ref="H2:I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E1E3-D1FD-4A7A-B7FB-CA6E5F098F34}">
  <sheetPr codeName="Hoja4"/>
  <dimension ref="A1:K29"/>
  <sheetViews>
    <sheetView showGridLines="0" workbookViewId="0">
      <selection activeCell="M7" sqref="M7"/>
    </sheetView>
  </sheetViews>
  <sheetFormatPr baseColWidth="10" defaultRowHeight="15" x14ac:dyDescent="0.25"/>
  <cols>
    <col min="1" max="1" width="16.5703125" customWidth="1"/>
    <col min="2" max="2" width="18.42578125" customWidth="1"/>
    <col min="3" max="3" width="16.28515625" customWidth="1"/>
    <col min="5" max="5" width="20" customWidth="1"/>
    <col min="6" max="6" width="18.42578125" customWidth="1"/>
    <col min="7" max="7" width="15.7109375" customWidth="1"/>
    <col min="8" max="8" width="11.42578125" customWidth="1"/>
    <col min="9" max="9" width="12.28515625" customWidth="1"/>
    <col min="10" max="10" width="16.85546875" bestFit="1" customWidth="1"/>
  </cols>
  <sheetData>
    <row r="1" spans="1:11" x14ac:dyDescent="0.25">
      <c r="B1" s="2" t="s">
        <v>7</v>
      </c>
      <c r="C1" s="2" t="s">
        <v>8</v>
      </c>
    </row>
    <row r="2" spans="1:11" ht="15" customHeight="1" x14ac:dyDescent="0.25">
      <c r="A2" s="94" t="s">
        <v>0</v>
      </c>
      <c r="B2" s="3">
        <v>2821</v>
      </c>
      <c r="C2" s="3">
        <f>B2</f>
        <v>2821</v>
      </c>
      <c r="E2" s="94" t="s">
        <v>5</v>
      </c>
      <c r="F2" s="3">
        <v>360</v>
      </c>
      <c r="H2" s="111" t="s">
        <v>57</v>
      </c>
      <c r="I2" s="111"/>
      <c r="J2" s="57">
        <v>2150000</v>
      </c>
    </row>
    <row r="3" spans="1:11" ht="15.75" thickBot="1" x14ac:dyDescent="0.3">
      <c r="A3" s="94" t="s">
        <v>1</v>
      </c>
      <c r="B3" s="4">
        <v>4.7E-2</v>
      </c>
      <c r="C3" s="4">
        <v>4.7E-2</v>
      </c>
      <c r="E3" s="94" t="s">
        <v>6</v>
      </c>
      <c r="F3" s="3">
        <v>180</v>
      </c>
      <c r="H3" s="73"/>
      <c r="I3" s="73"/>
    </row>
    <row r="4" spans="1:11" x14ac:dyDescent="0.25">
      <c r="A4" s="94" t="s">
        <v>2</v>
      </c>
      <c r="B4" s="4">
        <v>9.4999999999999998E-3</v>
      </c>
      <c r="C4" s="4">
        <v>9.4999999999999998E-3</v>
      </c>
      <c r="E4" s="112" t="s">
        <v>4</v>
      </c>
      <c r="F4" s="55">
        <f>J2*(1+C4)^(F3/F2)</f>
        <v>2160188.3598427246</v>
      </c>
      <c r="G4" t="s">
        <v>9</v>
      </c>
      <c r="H4" s="98" t="s">
        <v>77</v>
      </c>
      <c r="I4" s="99"/>
    </row>
    <row r="5" spans="1:11" ht="15.75" thickBot="1" x14ac:dyDescent="0.3">
      <c r="A5" s="94" t="s">
        <v>3</v>
      </c>
      <c r="B5" s="4">
        <v>0.04</v>
      </c>
      <c r="C5" s="4">
        <f>B5</f>
        <v>0.04</v>
      </c>
      <c r="E5" s="2" t="s">
        <v>13</v>
      </c>
      <c r="F5" s="6">
        <f>IF(E9="Vender el Forward",B2*(1+B5)^(F3/F2),C2*(1+C5)^(F3/F2))</f>
        <v>2876.8668095690496</v>
      </c>
      <c r="H5" s="100"/>
      <c r="I5" s="101" t="s">
        <v>46</v>
      </c>
    </row>
    <row r="7" spans="1:11" ht="15.75" thickBot="1" x14ac:dyDescent="0.3"/>
    <row r="8" spans="1:11" x14ac:dyDescent="0.25">
      <c r="A8" s="74" t="s">
        <v>10</v>
      </c>
      <c r="B8" s="28" t="s">
        <v>11</v>
      </c>
      <c r="C8" s="28" t="s">
        <v>12</v>
      </c>
      <c r="E8" s="51" t="s">
        <v>15</v>
      </c>
    </row>
    <row r="9" spans="1:11" ht="15.75" thickBot="1" x14ac:dyDescent="0.3">
      <c r="A9" s="74"/>
      <c r="B9" s="4">
        <f>((1+B3)/(1+C4))-1</f>
        <v>3.714710252600284E-2</v>
      </c>
      <c r="C9" s="4">
        <f>((1+C3)/(1+B4))-1</f>
        <v>3.714710252600284E-2</v>
      </c>
      <c r="E9" s="52" t="str">
        <f>IF(B5&gt;C9,"Vender el Forward",IF(C5&lt;B9,"Comprar el forward"))</f>
        <v>Vender el Forward</v>
      </c>
    </row>
    <row r="11" spans="1:11" x14ac:dyDescent="0.25">
      <c r="A11" t="s">
        <v>19</v>
      </c>
      <c r="B11" s="25">
        <f>F4*F5</f>
        <v>6214574194.848937</v>
      </c>
      <c r="C11" t="s">
        <v>20</v>
      </c>
      <c r="H11" s="81" t="s">
        <v>14</v>
      </c>
      <c r="I11" s="81"/>
      <c r="J11" s="81"/>
      <c r="K11" s="81"/>
    </row>
    <row r="12" spans="1:11" ht="15.75" thickBot="1" x14ac:dyDescent="0.3"/>
    <row r="13" spans="1:11" x14ac:dyDescent="0.25">
      <c r="A13" s="75" t="s">
        <v>58</v>
      </c>
      <c r="B13" s="76"/>
      <c r="C13" s="77"/>
      <c r="E13" s="78" t="s">
        <v>17</v>
      </c>
      <c r="F13" s="79"/>
      <c r="G13" s="80"/>
    </row>
    <row r="14" spans="1:11" x14ac:dyDescent="0.25">
      <c r="A14" s="16"/>
      <c r="B14" s="17"/>
      <c r="C14" s="18"/>
      <c r="E14" s="7"/>
      <c r="F14" s="8"/>
      <c r="G14" s="9"/>
    </row>
    <row r="15" spans="1:11" x14ac:dyDescent="0.25">
      <c r="A15" s="19" t="s">
        <v>72</v>
      </c>
      <c r="B15" s="17"/>
      <c r="C15" s="18"/>
      <c r="E15" s="10" t="s">
        <v>74</v>
      </c>
      <c r="F15" s="8"/>
      <c r="G15" s="9"/>
    </row>
    <row r="16" spans="1:11" x14ac:dyDescent="0.25">
      <c r="A16" s="16"/>
      <c r="B16" s="17"/>
      <c r="C16" s="18"/>
      <c r="E16" s="7"/>
      <c r="F16" s="8"/>
      <c r="G16" s="9"/>
    </row>
    <row r="17" spans="1:10" x14ac:dyDescent="0.25">
      <c r="A17" s="20" t="s">
        <v>18</v>
      </c>
      <c r="B17" s="21">
        <f>F4/(1+B4)^(F3/F2)</f>
        <v>2150000</v>
      </c>
      <c r="C17" s="18"/>
      <c r="E17" s="11" t="s">
        <v>18</v>
      </c>
      <c r="F17" s="12">
        <f>B11/(1+C3)^(F3/F2)</f>
        <v>6073486025.0083437</v>
      </c>
      <c r="G17" s="9"/>
    </row>
    <row r="18" spans="1:10" x14ac:dyDescent="0.25">
      <c r="A18" s="16"/>
      <c r="B18" s="17"/>
      <c r="C18" s="18"/>
      <c r="E18" s="7"/>
      <c r="F18" s="8"/>
      <c r="G18" s="9"/>
    </row>
    <row r="19" spans="1:10" x14ac:dyDescent="0.25">
      <c r="A19" s="19" t="s">
        <v>16</v>
      </c>
      <c r="B19" s="17"/>
      <c r="C19" s="18"/>
      <c r="E19" s="10" t="s">
        <v>62</v>
      </c>
      <c r="F19" s="8"/>
      <c r="G19" s="9"/>
    </row>
    <row r="20" spans="1:10" x14ac:dyDescent="0.25">
      <c r="A20" s="16"/>
      <c r="B20" s="17"/>
      <c r="C20" s="18"/>
      <c r="E20" s="7"/>
      <c r="F20" s="8"/>
      <c r="G20" s="9"/>
    </row>
    <row r="21" spans="1:10" x14ac:dyDescent="0.25">
      <c r="A21" s="20" t="s">
        <v>59</v>
      </c>
      <c r="B21" s="21">
        <f>B17*C2</f>
        <v>6065150000</v>
      </c>
      <c r="C21" s="18"/>
      <c r="E21" s="11" t="s">
        <v>63</v>
      </c>
      <c r="F21" s="12">
        <f>F17/C2</f>
        <v>2152954.9893684308</v>
      </c>
      <c r="G21" s="9"/>
    </row>
    <row r="22" spans="1:10" x14ac:dyDescent="0.25">
      <c r="A22" s="16"/>
      <c r="B22" s="17"/>
      <c r="C22" s="18"/>
      <c r="E22" s="7"/>
      <c r="F22" s="8"/>
      <c r="G22" s="9"/>
    </row>
    <row r="23" spans="1:10" ht="15.75" thickBot="1" x14ac:dyDescent="0.3">
      <c r="A23" s="19" t="s">
        <v>73</v>
      </c>
      <c r="B23" s="17"/>
      <c r="C23" s="18"/>
      <c r="E23" s="10" t="s">
        <v>75</v>
      </c>
      <c r="F23" s="8"/>
      <c r="G23" s="9"/>
    </row>
    <row r="24" spans="1:10" ht="15.75" thickBot="1" x14ac:dyDescent="0.3">
      <c r="A24" s="16"/>
      <c r="B24" s="17"/>
      <c r="C24" s="18"/>
      <c r="E24" s="7"/>
      <c r="F24" s="8"/>
      <c r="G24" s="9"/>
      <c r="I24" s="54" t="s">
        <v>21</v>
      </c>
      <c r="J24" s="56">
        <f>(B11/B25)^(F2/F3)-1</f>
        <v>2.7507163323787776E-3</v>
      </c>
    </row>
    <row r="25" spans="1:10" x14ac:dyDescent="0.25">
      <c r="A25" s="20" t="s">
        <v>60</v>
      </c>
      <c r="B25" s="21">
        <f>B21*(1+C3)^(F3/F2)</f>
        <v>6206044522.4843092</v>
      </c>
      <c r="C25" s="18"/>
      <c r="E25" s="11" t="s">
        <v>76</v>
      </c>
      <c r="F25" s="12">
        <f>F21*(1+B4)^(F3/F2)</f>
        <v>2163157.3522320935</v>
      </c>
      <c r="G25" s="9"/>
    </row>
    <row r="26" spans="1:10" x14ac:dyDescent="0.25">
      <c r="A26" s="16"/>
      <c r="B26" s="17"/>
      <c r="C26" s="18"/>
      <c r="E26" s="7"/>
      <c r="F26" s="8"/>
      <c r="G26" s="9"/>
      <c r="J26" s="26"/>
    </row>
    <row r="27" spans="1:10" x14ac:dyDescent="0.25">
      <c r="A27" s="19" t="s">
        <v>61</v>
      </c>
      <c r="B27" s="17"/>
      <c r="C27" s="18"/>
      <c r="E27" s="10" t="s">
        <v>65</v>
      </c>
      <c r="F27" s="8"/>
      <c r="G27" s="9"/>
    </row>
    <row r="28" spans="1:10" x14ac:dyDescent="0.25">
      <c r="A28" s="16"/>
      <c r="B28" s="17"/>
      <c r="C28" s="18"/>
      <c r="E28" s="7"/>
      <c r="F28" s="8"/>
      <c r="G28" s="9"/>
    </row>
    <row r="29" spans="1:10" ht="15.75" thickBot="1" x14ac:dyDescent="0.3">
      <c r="A29" s="22" t="s">
        <v>68</v>
      </c>
      <c r="B29" s="23">
        <f>B11-B25</f>
        <v>8529672.3646278381</v>
      </c>
      <c r="C29" s="24"/>
      <c r="E29" s="13" t="s">
        <v>71</v>
      </c>
      <c r="F29" s="14">
        <f>F25-F4</f>
        <v>2968.9923893688247</v>
      </c>
      <c r="G29" s="15"/>
    </row>
  </sheetData>
  <mergeCells count="6">
    <mergeCell ref="A8:A9"/>
    <mergeCell ref="H11:K11"/>
    <mergeCell ref="A13:C13"/>
    <mergeCell ref="E13:G13"/>
    <mergeCell ref="H2:I2"/>
    <mergeCell ref="H4:I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BC16-D253-448A-A552-5B3DF2788C5C}">
  <sheetPr codeName="Hoja5"/>
  <dimension ref="A2:K23"/>
  <sheetViews>
    <sheetView showGridLines="0" workbookViewId="0">
      <selection activeCell="N11" sqref="N11"/>
    </sheetView>
  </sheetViews>
  <sheetFormatPr baseColWidth="10" defaultRowHeight="15" x14ac:dyDescent="0.25"/>
  <cols>
    <col min="1" max="1" width="12" customWidth="1"/>
    <col min="2" max="3" width="16.5703125" customWidth="1"/>
    <col min="6" max="7" width="16.5703125" customWidth="1"/>
    <col min="11" max="11" width="0" hidden="1" customWidth="1"/>
  </cols>
  <sheetData>
    <row r="2" spans="1:11" x14ac:dyDescent="0.25">
      <c r="A2" s="59" t="s">
        <v>5</v>
      </c>
      <c r="B2" s="3">
        <v>360</v>
      </c>
      <c r="E2" s="60"/>
      <c r="F2" t="s">
        <v>46</v>
      </c>
      <c r="K2" t="s">
        <v>41</v>
      </c>
    </row>
    <row r="3" spans="1:11" x14ac:dyDescent="0.25">
      <c r="A3" s="59" t="s">
        <v>43</v>
      </c>
      <c r="B3" s="29" t="s">
        <v>45</v>
      </c>
      <c r="C3" s="33"/>
      <c r="K3" t="s">
        <v>45</v>
      </c>
    </row>
    <row r="4" spans="1:11" x14ac:dyDescent="0.25">
      <c r="A4" s="59" t="s">
        <v>4</v>
      </c>
      <c r="B4" s="58">
        <v>2500000</v>
      </c>
      <c r="C4" s="33" t="s">
        <v>9</v>
      </c>
      <c r="E4" s="89" t="s">
        <v>51</v>
      </c>
      <c r="F4" s="89"/>
      <c r="G4" s="89"/>
      <c r="H4" s="66"/>
    </row>
    <row r="5" spans="1:11" x14ac:dyDescent="0.25">
      <c r="A5" s="49"/>
    </row>
    <row r="6" spans="1:11" x14ac:dyDescent="0.25">
      <c r="B6" s="49" t="s">
        <v>7</v>
      </c>
      <c r="C6" s="49" t="s">
        <v>8</v>
      </c>
      <c r="F6" s="2" t="s">
        <v>7</v>
      </c>
      <c r="G6" s="2" t="s">
        <v>8</v>
      </c>
    </row>
    <row r="7" spans="1:11" x14ac:dyDescent="0.25">
      <c r="A7" s="59" t="s">
        <v>0</v>
      </c>
      <c r="B7" s="29">
        <v>3100</v>
      </c>
      <c r="C7" s="29">
        <v>3110</v>
      </c>
      <c r="E7" s="61" t="s">
        <v>0</v>
      </c>
      <c r="F7" s="3">
        <v>2950</v>
      </c>
      <c r="G7" s="3">
        <v>2960</v>
      </c>
    </row>
    <row r="8" spans="1:11" x14ac:dyDescent="0.25">
      <c r="A8" s="59" t="s">
        <v>42</v>
      </c>
      <c r="B8" s="30">
        <v>2.8000000000000001E-2</v>
      </c>
      <c r="C8" s="30">
        <v>2.9499999999999998E-2</v>
      </c>
      <c r="E8" s="61" t="s">
        <v>42</v>
      </c>
      <c r="F8" s="4">
        <v>1.8499999999999999E-2</v>
      </c>
      <c r="G8" s="4">
        <v>1.95E-2</v>
      </c>
    </row>
    <row r="9" spans="1:11" x14ac:dyDescent="0.25">
      <c r="A9" s="59" t="s">
        <v>6</v>
      </c>
      <c r="B9" s="3">
        <v>360</v>
      </c>
      <c r="C9" s="1" t="s">
        <v>44</v>
      </c>
      <c r="E9" s="61" t="s">
        <v>6</v>
      </c>
      <c r="F9" s="3">
        <v>90</v>
      </c>
      <c r="G9" s="1" t="s">
        <v>44</v>
      </c>
    </row>
    <row r="10" spans="1:11" ht="15.75" thickBot="1" x14ac:dyDescent="0.3"/>
    <row r="11" spans="1:11" ht="15.75" thickBot="1" x14ac:dyDescent="0.3">
      <c r="A11" s="63" t="s">
        <v>47</v>
      </c>
      <c r="B11" s="62">
        <f>IFERROR(IF(B3="Compra",C7*(1+C8)^(B9/B2),B7*(1+B8)^(B9/B2)),"")</f>
        <v>3186.8</v>
      </c>
      <c r="E11" s="63" t="s">
        <v>48</v>
      </c>
      <c r="F11" s="62">
        <f>IFERROR(IF(B3="Compra",B11*(1+G8)^(F9/B2),B11*(1+F8)^(F9/B2)),"")</f>
        <v>3201.437788155351</v>
      </c>
    </row>
    <row r="12" spans="1:11" ht="15.75" thickBot="1" x14ac:dyDescent="0.3"/>
    <row r="13" spans="1:11" ht="15.75" thickBot="1" x14ac:dyDescent="0.3">
      <c r="A13" s="65" t="s">
        <v>49</v>
      </c>
      <c r="B13" s="64">
        <f>IFERROR(B4*B11,"")</f>
        <v>7967000000</v>
      </c>
      <c r="E13" s="65" t="s">
        <v>49</v>
      </c>
      <c r="F13" s="64">
        <f>IFERROR(B4*F11,"")</f>
        <v>8003594470.3883772</v>
      </c>
    </row>
    <row r="18" spans="6:7" ht="15.75" thickBot="1" x14ac:dyDescent="0.3"/>
    <row r="19" spans="6:7" x14ac:dyDescent="0.25">
      <c r="F19" s="90" t="s">
        <v>55</v>
      </c>
      <c r="G19" s="91"/>
    </row>
    <row r="20" spans="6:7" x14ac:dyDescent="0.25">
      <c r="F20" s="92"/>
      <c r="G20" s="93"/>
    </row>
    <row r="21" spans="6:7" x14ac:dyDescent="0.25">
      <c r="F21" s="7"/>
      <c r="G21" s="9"/>
    </row>
    <row r="22" spans="6:7" x14ac:dyDescent="0.25">
      <c r="F22" s="7"/>
      <c r="G22" s="9"/>
    </row>
    <row r="23" spans="6:7" ht="15.75" thickBot="1" x14ac:dyDescent="0.3">
      <c r="F23" s="71"/>
      <c r="G23" s="15"/>
    </row>
  </sheetData>
  <mergeCells count="2">
    <mergeCell ref="E4:G4"/>
    <mergeCell ref="F19:G20"/>
  </mergeCells>
  <dataValidations count="1">
    <dataValidation type="list" allowBlank="1" showInputMessage="1" showErrorMessage="1" sqref="B3" xr:uid="{32F3DD4F-7151-4D83-B947-ADC78CC4E025}">
      <formula1>$K$2:$K$3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23638-458F-407D-96B9-9BBB162DA0E2}">
  <sheetPr codeName="Hoja6"/>
  <dimension ref="A2:K22"/>
  <sheetViews>
    <sheetView showGridLines="0" workbookViewId="0">
      <selection activeCell="H32" sqref="H32"/>
    </sheetView>
  </sheetViews>
  <sheetFormatPr baseColWidth="10" defaultRowHeight="15" x14ac:dyDescent="0.25"/>
  <cols>
    <col min="1" max="1" width="12" customWidth="1"/>
    <col min="2" max="2" width="17.7109375" customWidth="1"/>
    <col min="3" max="3" width="17.5703125" customWidth="1"/>
    <col min="5" max="5" width="14.5703125" customWidth="1"/>
    <col min="6" max="6" width="17.85546875" customWidth="1"/>
    <col min="7" max="7" width="17.7109375" customWidth="1"/>
    <col min="11" max="11" width="0" hidden="1" customWidth="1"/>
  </cols>
  <sheetData>
    <row r="2" spans="1:11" x14ac:dyDescent="0.25">
      <c r="A2" s="59" t="s">
        <v>5</v>
      </c>
      <c r="B2" s="3">
        <v>360</v>
      </c>
      <c r="E2" s="60"/>
      <c r="F2" t="s">
        <v>46</v>
      </c>
      <c r="K2" t="s">
        <v>41</v>
      </c>
    </row>
    <row r="3" spans="1:11" x14ac:dyDescent="0.25">
      <c r="A3" s="59" t="s">
        <v>43</v>
      </c>
      <c r="B3" s="29" t="s">
        <v>45</v>
      </c>
      <c r="C3" s="33"/>
      <c r="K3" t="s">
        <v>45</v>
      </c>
    </row>
    <row r="4" spans="1:11" x14ac:dyDescent="0.25">
      <c r="A4" s="59" t="s">
        <v>4</v>
      </c>
      <c r="B4" s="58">
        <v>7500000</v>
      </c>
      <c r="C4" s="33" t="s">
        <v>9</v>
      </c>
      <c r="E4" s="89" t="s">
        <v>50</v>
      </c>
      <c r="F4" s="89"/>
      <c r="G4" s="89"/>
    </row>
    <row r="5" spans="1:11" x14ac:dyDescent="0.25">
      <c r="A5" s="49"/>
    </row>
    <row r="6" spans="1:11" x14ac:dyDescent="0.25">
      <c r="B6" s="49" t="s">
        <v>7</v>
      </c>
      <c r="C6" s="49" t="s">
        <v>8</v>
      </c>
      <c r="F6" s="2" t="s">
        <v>7</v>
      </c>
      <c r="G6" s="2" t="s">
        <v>8</v>
      </c>
    </row>
    <row r="7" spans="1:11" x14ac:dyDescent="0.25">
      <c r="A7" s="59" t="s">
        <v>0</v>
      </c>
      <c r="B7" s="29">
        <v>2915</v>
      </c>
      <c r="C7" s="29">
        <v>2920</v>
      </c>
      <c r="E7" s="61" t="s">
        <v>0</v>
      </c>
      <c r="F7" s="3">
        <v>3013</v>
      </c>
      <c r="G7" s="3">
        <v>3014</v>
      </c>
    </row>
    <row r="8" spans="1:11" x14ac:dyDescent="0.25">
      <c r="A8" s="59" t="s">
        <v>42</v>
      </c>
      <c r="B8" s="30">
        <v>2.9000000000000001E-2</v>
      </c>
      <c r="C8" s="30">
        <v>0.03</v>
      </c>
      <c r="E8" s="61" t="s">
        <v>42</v>
      </c>
      <c r="F8" s="4">
        <v>2.5000000000000001E-2</v>
      </c>
      <c r="G8" s="4">
        <v>2.5999999999999999E-2</v>
      </c>
    </row>
    <row r="9" spans="1:11" x14ac:dyDescent="0.25">
      <c r="A9" s="59" t="s">
        <v>6</v>
      </c>
      <c r="B9" s="3">
        <v>270</v>
      </c>
      <c r="C9" s="1" t="s">
        <v>44</v>
      </c>
      <c r="E9" s="67" t="s">
        <v>56</v>
      </c>
      <c r="F9" s="29">
        <v>180</v>
      </c>
      <c r="G9" s="68" t="s">
        <v>53</v>
      </c>
    </row>
    <row r="10" spans="1:11" ht="15.75" thickBot="1" x14ac:dyDescent="0.3">
      <c r="E10" s="70"/>
      <c r="F10" s="69"/>
      <c r="G10" s="69"/>
    </row>
    <row r="11" spans="1:11" ht="15.75" thickBot="1" x14ac:dyDescent="0.3">
      <c r="A11" s="63" t="s">
        <v>47</v>
      </c>
      <c r="B11" s="62">
        <f>IFERROR(IF(B3="Compra",C7*(1+C8)^(B9/B2),B7*(1+B8)^(B9/B2)),"")</f>
        <v>2978.1741531107964</v>
      </c>
      <c r="E11" s="63" t="s">
        <v>52</v>
      </c>
      <c r="F11" s="62">
        <f>IFERROR(IF(B3="Compra",B11/(1+F8)^(F9/B2),B11/(1+G8)^(F9/B2)),"")</f>
        <v>2940.1968622771924</v>
      </c>
    </row>
    <row r="12" spans="1:11" ht="15.75" thickBot="1" x14ac:dyDescent="0.3"/>
    <row r="13" spans="1:11" ht="15.75" thickBot="1" x14ac:dyDescent="0.3">
      <c r="A13" s="65" t="s">
        <v>49</v>
      </c>
      <c r="B13" s="64">
        <f>IFERROR(B4*B11,"")</f>
        <v>22336306148.330975</v>
      </c>
      <c r="E13" s="65" t="s">
        <v>49</v>
      </c>
      <c r="F13" s="64">
        <f>IFERROR(B4*F11,"")</f>
        <v>22051476467.078941</v>
      </c>
    </row>
    <row r="15" spans="1:11" ht="15.75" thickBot="1" x14ac:dyDescent="0.3"/>
    <row r="16" spans="1:11" ht="15.75" thickBot="1" x14ac:dyDescent="0.3">
      <c r="A16" s="63" t="s">
        <v>54</v>
      </c>
      <c r="B16" s="72">
        <f>IFERROR(IF(B3="Compra",(F7-F11)*B4,(F11-G7)*B4),"")</f>
        <v>-553523532.92105699</v>
      </c>
    </row>
    <row r="17" spans="6:7" ht="15.75" thickBot="1" x14ac:dyDescent="0.3"/>
    <row r="18" spans="6:7" ht="15" customHeight="1" x14ac:dyDescent="0.25">
      <c r="F18" s="90" t="s">
        <v>55</v>
      </c>
      <c r="G18" s="91"/>
    </row>
    <row r="19" spans="6:7" x14ac:dyDescent="0.25">
      <c r="F19" s="92"/>
      <c r="G19" s="93"/>
    </row>
    <row r="20" spans="6:7" x14ac:dyDescent="0.25">
      <c r="F20" s="7"/>
      <c r="G20" s="9"/>
    </row>
    <row r="21" spans="6:7" x14ac:dyDescent="0.25">
      <c r="F21" s="7"/>
      <c r="G21" s="9"/>
    </row>
    <row r="22" spans="6:7" ht="15.75" thickBot="1" x14ac:dyDescent="0.3">
      <c r="F22" s="71"/>
      <c r="G22" s="15"/>
    </row>
  </sheetData>
  <mergeCells count="2">
    <mergeCell ref="F18:G19"/>
    <mergeCell ref="E4:G4"/>
  </mergeCells>
  <dataValidations count="1">
    <dataValidation type="list" allowBlank="1" showInputMessage="1" showErrorMessage="1" sqref="B3" xr:uid="{725151C4-CDDE-4CA5-9EEE-0E0C62FD2694}">
      <formula1>$K$2:$K$3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Arbitraje</vt:lpstr>
      <vt:lpstr>Inversión Sint.</vt:lpstr>
      <vt:lpstr>Crédito Sint.</vt:lpstr>
      <vt:lpstr>Carry Trade</vt:lpstr>
      <vt:lpstr>Prorrogación</vt:lpstr>
      <vt:lpstr>Redención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2023-03-05T18:28:48Z</dcterms:created>
  <dcterms:modified xsi:type="dcterms:W3CDTF">2023-08-22T04:21:55Z</dcterms:modified>
</cp:coreProperties>
</file>